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id\Documentos\_Projects\Proyecto D´johanna\recursos\"/>
    </mc:Choice>
  </mc:AlternateContent>
  <xr:revisionPtr revIDLastSave="0" documentId="8_{55EDABD7-9C2D-4E42-8E0C-244D5DDA140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ormato" sheetId="1" r:id="rId1"/>
    <sheet name="formato (2)" sheetId="2" r:id="rId2"/>
  </sheets>
  <definedNames>
    <definedName name="_xlnm.Print_Area" localSheetId="0">formato!$A$1:$I$38</definedName>
    <definedName name="_xlnm.Print_Area" localSheetId="1">'formato (2)'!$A$1:$I$38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8" i="2" l="1" a="1"/>
  <c r="I38" i="2" s="1"/>
  <c r="I23" i="2"/>
  <c r="I22" i="2"/>
  <c r="I21" i="2"/>
  <c r="I20" i="2"/>
  <c r="I19" i="2"/>
  <c r="I18" i="2"/>
  <c r="I17" i="2"/>
  <c r="I16" i="2"/>
  <c r="I15" i="2"/>
  <c r="I14" i="2"/>
  <c r="I29" i="1"/>
  <c r="I28" i="1"/>
  <c r="I19" i="1"/>
  <c r="I18" i="1"/>
  <c r="I17" i="1"/>
  <c r="I16" i="1"/>
  <c r="I15" i="1"/>
  <c r="I14" i="1"/>
  <c r="I22" i="1"/>
  <c r="I21" i="1"/>
  <c r="I20" i="1"/>
  <c r="I23" i="1"/>
  <c r="I38" i="1" a="1"/>
  <c r="I38" i="1" s="1"/>
  <c r="I24" i="2" l="1"/>
  <c r="I25" i="2" s="1"/>
  <c r="I26" i="2" s="1"/>
  <c r="I28" i="2" s="1"/>
  <c r="I24" i="1"/>
  <c r="I25" i="1" s="1"/>
  <c r="I26" i="1" s="1"/>
  <c r="I2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<sst xmlns="http://schemas.openxmlformats.org/spreadsheetml/2006/main" count="73" uniqueCount="45">
  <si>
    <t>ORDEN DE COMPRA</t>
  </si>
  <si>
    <t>Empresa:</t>
  </si>
  <si>
    <t>Contacto:</t>
  </si>
  <si>
    <t>Dirección:</t>
  </si>
  <si>
    <t>PIEZAS</t>
  </si>
  <si>
    <t>TOTAL</t>
  </si>
  <si>
    <t>IVA</t>
  </si>
  <si>
    <t>Ret.ISR 1.25%</t>
  </si>
  <si>
    <t>ANA VIVIAN</t>
  </si>
  <si>
    <t>VENDEDOR</t>
  </si>
  <si>
    <t xml:space="preserve">NOMBRE Y FIRMA DE AUTORIZACION </t>
  </si>
  <si>
    <t>INFORMACIÓN ADICIONAL:</t>
  </si>
  <si>
    <t>TIEMPO DE ENTREGA:</t>
  </si>
  <si>
    <t>FECHA TOMA DE MEDIDAS:</t>
  </si>
  <si>
    <t>SELLO DE LA EMPRESA</t>
  </si>
  <si>
    <t>SUBTOTAL</t>
  </si>
  <si>
    <t>Puesto:</t>
  </si>
  <si>
    <t>ANTICIPO</t>
  </si>
  <si>
    <t>DEPOSITO ANTICIPO</t>
  </si>
  <si>
    <t>Temporada OTOÑO INVIERNO 2026</t>
  </si>
  <si>
    <t>PRODESA AGROPECUARIA</t>
  </si>
  <si>
    <t>LIC. LUCIA LONGORIA</t>
  </si>
  <si>
    <t>RECURSOS HUMANOS</t>
  </si>
  <si>
    <t>MIGUEL ALEMAN 548 NORTE LOCAL #30</t>
  </si>
  <si>
    <t>Fecha:</t>
  </si>
  <si>
    <t>Ciudad:</t>
  </si>
  <si>
    <t>Teléfono:</t>
  </si>
  <si>
    <t>6441 57 8648</t>
  </si>
  <si>
    <t>e-mail:</t>
  </si>
  <si>
    <t>comprasprodesa@hotmail.com</t>
  </si>
  <si>
    <t>20 DE MARZO DE 2026</t>
  </si>
  <si>
    <t>OBREGON, SONORA</t>
  </si>
  <si>
    <t>CHALECOS LUGO MINT</t>
  </si>
  <si>
    <t>BLUSAS ACACIA COFFEE</t>
  </si>
  <si>
    <t>CHALECOS NEPAL ORCHID</t>
  </si>
  <si>
    <t>BLUSAS ROSE PINK</t>
  </si>
  <si>
    <t>PANTALONES TRENT NEGRA</t>
  </si>
  <si>
    <t>#3 (MODELO TAL)</t>
  </si>
  <si>
    <t>#5 (ICAMISERA)</t>
  </si>
  <si>
    <t>PANTALONES HANNOVER  DK COFF</t>
  </si>
  <si>
    <t>S/ESPECIFICACIONES</t>
  </si>
  <si>
    <t>#3 CHALECO AZUL CIELO MISMA HECHURA LOS DOS CHALECOS IGUALES</t>
  </si>
  <si>
    <t>CAMISERA</t>
  </si>
  <si>
    <t xml:space="preserve">LAS BLUSAS CAMISERAS PIES DE CUELLO REDONDOS PUÑO DE 5CM </t>
  </si>
  <si>
    <t>PANTALONES PRETINA 6CM CON VISTAS Y BOLSAS VERTICALES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</si>
</sst>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&quot;, &quot;mmmm\ dd&quot;, &quot;yyyy"/>
    <numFmt numFmtId="165" formatCode="_(\$* #,##0.00_);_(\$* \(#,##0.00\);_(\$* \-??_);_(@_)"/>
    <numFmt numFmtId="166" formatCode="_(&quot;$&quot;* #,##0.00_);_(&quot;$&quot;* \(#,##0.00\);_(&quot;$&quot;* &quot;-&quot;??_);_(@_)"/>
  </numFmts>
  <fonts count="15" x14ac:knownFonts="1">
    <font>
      <sz val="11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D9D9D9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6855F"/>
        <bgColor rgb="FF969696"/>
      </patternFill>
    </fill>
    <fill>
      <patternFill patternType="solid">
        <fgColor rgb="FFD60026"/>
        <bgColor rgb="FF800000"/>
      </patternFill>
    </fill>
    <fill>
      <patternFill patternType="solid">
        <fgColor rgb="FF86855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86855F"/>
      </left>
      <right style="thin">
        <color rgb="FF86855F"/>
      </right>
      <top style="thin">
        <color rgb="FF86855F"/>
      </top>
      <bottom style="thin">
        <color rgb="FF86855F"/>
      </bottom>
      <diagonal/>
    </border>
    <border>
      <left/>
      <right style="thin">
        <color rgb="FF86855F"/>
      </right>
      <top style="thin">
        <color rgb="FF86855F"/>
      </top>
      <bottom style="thin">
        <color rgb="FF86855F"/>
      </bottom>
      <diagonal/>
    </border>
    <border>
      <left style="thin">
        <color rgb="FF86855F"/>
      </left>
      <right style="thin">
        <color rgb="FF86855F"/>
      </right>
      <top style="thin">
        <color rgb="FF86855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9" fillId="0" borderId="0" applyBorder="0" applyProtection="0"/>
    <xf numFmtId="0" fontId="4" fillId="0" borderId="0" applyBorder="0" applyProtection="0"/>
  </cellStyleXfs>
  <cellXfs count="46">
    <xf numFmtId="0" fontId="0" fillId="0" borderId="0" xfId="0"/>
    <xf numFmtId="0" fontId="0" fillId="2" borderId="0" xfId="0" applyFill="1"/>
    <xf numFmtId="0" fontId="3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165" fontId="0" fillId="0" borderId="1" xfId="1" applyFont="1" applyBorder="1" applyAlignment="1" applyProtection="1">
      <alignment vertical="center"/>
      <protection locked="0"/>
    </xf>
    <xf numFmtId="165" fontId="0" fillId="0" borderId="1" xfId="1" applyFont="1" applyBorder="1" applyAlignment="1" applyProtection="1">
      <alignment vertical="center"/>
    </xf>
    <xf numFmtId="0" fontId="6" fillId="0" borderId="0" xfId="0" applyFont="1"/>
    <xf numFmtId="0" fontId="0" fillId="0" borderId="0" xfId="0" applyAlignment="1" applyProtection="1">
      <alignment horizontal="justify"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6" xfId="0" applyFont="1" applyBorder="1" applyAlignment="1" applyProtection="1">
      <alignment vertical="top"/>
      <protection locked="0"/>
    </xf>
    <xf numFmtId="0" fontId="7" fillId="0" borderId="8" xfId="0" applyFont="1" applyBorder="1"/>
    <xf numFmtId="0" fontId="0" fillId="0" borderId="0" xfId="0" applyAlignment="1">
      <alignment horizontal="left"/>
    </xf>
    <xf numFmtId="0" fontId="7" fillId="0" borderId="9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5" xfId="0" applyFont="1" applyBorder="1"/>
    <xf numFmtId="0" fontId="7" fillId="0" borderId="12" xfId="0" applyFont="1" applyBorder="1"/>
    <xf numFmtId="0" fontId="7" fillId="0" borderId="13" xfId="0" applyFont="1" applyBorder="1"/>
    <xf numFmtId="0" fontId="10" fillId="5" borderId="2" xfId="0" applyFont="1" applyFill="1" applyBorder="1" applyAlignment="1" applyProtection="1">
      <alignment horizontal="right" vertical="center"/>
      <protection locked="0"/>
    </xf>
    <xf numFmtId="166" fontId="11" fillId="0" borderId="1" xfId="0" applyNumberFormat="1" applyFont="1" applyBorder="1" applyAlignment="1">
      <alignment vertical="center"/>
    </xf>
    <xf numFmtId="0" fontId="12" fillId="5" borderId="2" xfId="0" applyFont="1" applyFill="1" applyBorder="1" applyAlignment="1">
      <alignment horizontal="right" vertical="center"/>
    </xf>
    <xf numFmtId="165" fontId="11" fillId="0" borderId="3" xfId="1" applyFont="1" applyBorder="1" applyAlignment="1" applyProtection="1">
      <alignment vertical="center"/>
      <protection locked="0"/>
    </xf>
    <xf numFmtId="0" fontId="10" fillId="5" borderId="0" xfId="0" applyFont="1" applyFill="1" applyAlignment="1" applyProtection="1">
      <alignment horizontal="right" vertical="center"/>
      <protection locked="0"/>
    </xf>
    <xf numFmtId="166" fontId="11" fillId="0" borderId="4" xfId="0" applyNumberFormat="1" applyFont="1" applyBorder="1"/>
    <xf numFmtId="0" fontId="14" fillId="5" borderId="0" xfId="0" applyFont="1" applyFill="1" applyAlignment="1" applyProtection="1">
      <alignment horizontal="right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4" fillId="0" borderId="0" xfId="2"/>
    <xf numFmtId="0" fontId="0" fillId="0" borderId="6" xfId="0" applyBorder="1" applyAlignment="1">
      <alignment horizontal="center"/>
    </xf>
    <xf numFmtId="0" fontId="8" fillId="0" borderId="10" xfId="0" applyFon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justify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4" fillId="0" borderId="1" xfId="2" applyBorder="1" applyAlignment="1" applyProtection="1">
      <alignment horizontal="left"/>
      <protection locked="0"/>
    </xf>
    <xf numFmtId="0" fontId="4" fillId="0" borderId="1" xfId="2" applyBorder="1" applyProtection="1">
      <protection locked="0"/>
    </xf>
    <xf numFmtId="0" fontId="5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 applyProtection="1">
      <alignment horizontal="right" vertical="center"/>
      <protection locked="0"/>
    </xf>
    <xf numFmtId="164" fontId="0" fillId="0" borderId="1" xfId="0" applyNumberFormat="1" applyBorder="1" applyAlignment="1" applyProtection="1">
      <alignment horizontal="left"/>
      <protection locked="0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600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6855F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57160" cy="804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C461A3-3E43-471D-A6E6-A1DF608FEDA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3C4D4C-ADCE-4D9B-9746-7628636A737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F737E4-3FDF-4708-82F5-92D658A3813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4BC374-390B-4CB1-90EE-728053CDFB0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C4C83A0-8A29-448D-9F02-D2D05352FA1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85680</xdr:rowOff>
    </xdr:from>
    <xdr:to>
      <xdr:col>3</xdr:col>
      <xdr:colOff>418680</xdr:colOff>
      <xdr:row>4</xdr:row>
      <xdr:rowOff>128160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3963B-0A5C-4557-8446-92520D809B3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85680"/>
          <a:ext cx="2647500" cy="8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prasprodesa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8"/>
  <sheetViews>
    <sheetView showGridLines="0" zoomScale="112" zoomScaleNormal="112" workbookViewId="0">
      <selection activeCell="K4" sqref="K4"/>
    </sheetView>
  </sheetViews>
  <sheetFormatPr baseColWidth="10" defaultColWidth="10.7109375" defaultRowHeight="15" x14ac:dyDescent="0.25"/>
  <cols>
    <col min="5" max="5" width="12.42578125" customWidth="1"/>
    <col min="7" max="7" width="7.28515625" customWidth="1"/>
    <col min="8" max="8" width="15.5703125" customWidth="1"/>
    <col min="9" max="9" width="14.28515625" customWidth="1"/>
  </cols>
  <sheetData>
    <row r="1" spans="1:9" ht="15" customHeight="1" x14ac:dyDescent="0.25">
      <c r="E1" s="43" t="s">
        <v>0</v>
      </c>
      <c r="F1" s="43"/>
      <c r="G1" s="43"/>
      <c r="H1" s="43"/>
      <c r="I1" s="43"/>
    </row>
    <row r="2" spans="1:9" ht="15" customHeight="1" x14ac:dyDescent="0.25">
      <c r="E2" s="43"/>
      <c r="F2" s="43"/>
      <c r="G2" s="43"/>
      <c r="H2" s="43"/>
      <c r="I2" s="43"/>
    </row>
    <row r="3" spans="1:9" ht="15" customHeight="1" x14ac:dyDescent="0.25">
      <c r="E3" s="43"/>
      <c r="F3" s="43"/>
      <c r="G3" s="43"/>
      <c r="H3" s="43"/>
      <c r="I3" s="43"/>
    </row>
    <row r="4" spans="1:9" ht="15" customHeight="1" x14ac:dyDescent="0.25">
      <c r="E4" s="43"/>
      <c r="F4" s="43"/>
      <c r="G4" s="43"/>
      <c r="H4" s="43"/>
      <c r="I4" s="43"/>
    </row>
    <row r="5" spans="1:9" ht="18" customHeight="1" x14ac:dyDescent="0.25">
      <c r="E5" s="44" t="s">
        <v>19</v>
      </c>
      <c r="F5" s="44"/>
      <c r="G5" s="44"/>
      <c r="H5" s="44"/>
      <c r="I5" s="44"/>
    </row>
    <row r="6" spans="1:9" ht="0.75" customHeigh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9.75" customHeight="1" x14ac:dyDescent="0.25"/>
    <row r="8" spans="1:9" x14ac:dyDescent="0.25">
      <c r="A8" s="2" t="s">
        <v>1</v>
      </c>
      <c r="B8" s="36" t="s">
        <v>20</v>
      </c>
      <c r="C8" s="36"/>
      <c r="D8" s="36"/>
      <c r="E8" s="36"/>
      <c r="F8" s="2" t="s">
        <v>24</v>
      </c>
      <c r="G8" s="45" t="s">
        <v>30</v>
      </c>
      <c r="H8" s="45"/>
      <c r="I8" s="45"/>
    </row>
    <row r="9" spans="1:9" x14ac:dyDescent="0.25">
      <c r="A9" s="2" t="s">
        <v>2</v>
      </c>
      <c r="B9" s="36" t="s">
        <v>21</v>
      </c>
      <c r="C9" s="36"/>
      <c r="D9" s="36"/>
      <c r="E9" s="36"/>
      <c r="F9" s="2" t="s">
        <v>25</v>
      </c>
      <c r="G9" s="36" t="s">
        <v>31</v>
      </c>
      <c r="H9" s="36"/>
      <c r="I9" s="36"/>
    </row>
    <row r="10" spans="1:9" x14ac:dyDescent="0.25">
      <c r="A10" s="2" t="s">
        <v>16</v>
      </c>
      <c r="B10" s="36" t="s">
        <v>22</v>
      </c>
      <c r="C10" s="36"/>
      <c r="D10" s="36"/>
      <c r="E10" s="36"/>
      <c r="F10" s="2" t="s">
        <v>26</v>
      </c>
      <c r="G10" s="40" t="s">
        <v>27</v>
      </c>
      <c r="H10" s="40"/>
      <c r="I10" s="40"/>
    </row>
    <row r="11" spans="1:9" x14ac:dyDescent="0.25">
      <c r="A11" s="2" t="s">
        <v>3</v>
      </c>
      <c r="B11" s="36" t="s">
        <v>23</v>
      </c>
      <c r="C11" s="36"/>
      <c r="D11" s="36"/>
      <c r="E11" s="36"/>
      <c r="F11" s="2" t="s">
        <v>28</v>
      </c>
      <c r="G11" s="41" t="s">
        <v>29</v>
      </c>
      <c r="H11" s="40"/>
      <c r="I11" s="40"/>
    </row>
    <row r="12" spans="1:9" x14ac:dyDescent="0.25">
      <c r="G12" s="30"/>
    </row>
    <row r="13" spans="1:9" x14ac:dyDescent="0.25">
      <c r="A13" s="3" t="s">
        <v>4</v>
      </c>
      <c r="B13" s="42"/>
      <c r="C13" s="42"/>
      <c r="D13" s="42"/>
      <c r="E13" s="42"/>
      <c r="F13" s="42"/>
      <c r="G13" s="42"/>
      <c r="H13" s="4"/>
      <c r="I13" s="3"/>
    </row>
    <row r="14" spans="1:9" ht="19.5" customHeight="1" x14ac:dyDescent="0.25">
      <c r="A14" s="29">
        <v>5</v>
      </c>
      <c r="B14" s="33" t="s">
        <v>32</v>
      </c>
      <c r="C14" s="33"/>
      <c r="D14" s="33"/>
      <c r="E14" s="33"/>
      <c r="F14" s="37" t="s">
        <v>37</v>
      </c>
      <c r="G14" s="37"/>
      <c r="H14" s="6">
        <v>1195</v>
      </c>
      <c r="I14" s="7">
        <f t="shared" ref="I14:I19" si="0">A14*H14</f>
        <v>5975</v>
      </c>
    </row>
    <row r="15" spans="1:9" ht="21" customHeight="1" x14ac:dyDescent="0.25">
      <c r="A15" s="5">
        <v>5</v>
      </c>
      <c r="B15" s="37" t="s">
        <v>33</v>
      </c>
      <c r="C15" s="37"/>
      <c r="D15" s="37"/>
      <c r="E15" s="37"/>
      <c r="F15" s="37" t="s">
        <v>38</v>
      </c>
      <c r="G15" s="37"/>
      <c r="H15" s="6">
        <v>745</v>
      </c>
      <c r="I15" s="7">
        <f t="shared" si="0"/>
        <v>3725</v>
      </c>
    </row>
    <row r="16" spans="1:9" ht="21" customHeight="1" x14ac:dyDescent="0.25">
      <c r="A16" s="5">
        <v>5</v>
      </c>
      <c r="B16" s="37" t="s">
        <v>39</v>
      </c>
      <c r="C16" s="37"/>
      <c r="D16" s="37"/>
      <c r="E16" s="37"/>
      <c r="F16" s="37" t="s">
        <v>40</v>
      </c>
      <c r="G16" s="37"/>
      <c r="H16" s="6">
        <v>745</v>
      </c>
      <c r="I16" s="7">
        <f t="shared" si="0"/>
        <v>3725</v>
      </c>
    </row>
    <row r="17" spans="1:9" ht="21" customHeight="1" x14ac:dyDescent="0.25">
      <c r="A17" s="5"/>
      <c r="B17" s="37"/>
      <c r="C17" s="37"/>
      <c r="D17" s="37"/>
      <c r="E17" s="37"/>
      <c r="F17" s="37"/>
      <c r="G17" s="37"/>
      <c r="H17" s="6"/>
      <c r="I17" s="7">
        <f t="shared" si="0"/>
        <v>0</v>
      </c>
    </row>
    <row r="18" spans="1:9" ht="21" customHeight="1" x14ac:dyDescent="0.25">
      <c r="A18" s="5">
        <v>5</v>
      </c>
      <c r="B18" s="37" t="s">
        <v>34</v>
      </c>
      <c r="C18" s="37"/>
      <c r="D18" s="37"/>
      <c r="E18" s="37"/>
      <c r="F18" s="37" t="s">
        <v>37</v>
      </c>
      <c r="G18" s="37"/>
      <c r="H18" s="6"/>
      <c r="I18" s="7">
        <f t="shared" si="0"/>
        <v>0</v>
      </c>
    </row>
    <row r="19" spans="1:9" ht="21" customHeight="1" x14ac:dyDescent="0.25">
      <c r="A19" s="5">
        <v>5</v>
      </c>
      <c r="B19" s="37" t="s">
        <v>35</v>
      </c>
      <c r="C19" s="37"/>
      <c r="D19" s="37"/>
      <c r="E19" s="37"/>
      <c r="F19" s="37" t="s">
        <v>42</v>
      </c>
      <c r="G19" s="37"/>
      <c r="H19" s="6"/>
      <c r="I19" s="7">
        <f t="shared" si="0"/>
        <v>0</v>
      </c>
    </row>
    <row r="20" spans="1:9" ht="21" customHeight="1" x14ac:dyDescent="0.25">
      <c r="A20" s="5">
        <v>3</v>
      </c>
      <c r="B20" s="37" t="s">
        <v>36</v>
      </c>
      <c r="C20" s="37"/>
      <c r="D20" s="37"/>
      <c r="E20" s="37"/>
      <c r="F20" s="37" t="s">
        <v>40</v>
      </c>
      <c r="G20" s="37"/>
      <c r="H20" s="6"/>
      <c r="I20" s="7">
        <f t="shared" ref="I20:I22" si="1">A20*H20</f>
        <v>0</v>
      </c>
    </row>
    <row r="21" spans="1:9" ht="21" customHeight="1" x14ac:dyDescent="0.25">
      <c r="A21" s="5"/>
      <c r="B21" s="37"/>
      <c r="C21" s="37"/>
      <c r="D21" s="37"/>
      <c r="E21" s="37"/>
      <c r="F21" s="37"/>
      <c r="G21" s="37"/>
      <c r="H21" s="6"/>
      <c r="I21" s="7">
        <f t="shared" si="1"/>
        <v>0</v>
      </c>
    </row>
    <row r="22" spans="1:9" ht="21" customHeight="1" x14ac:dyDescent="0.25">
      <c r="A22" s="5"/>
      <c r="B22" s="37"/>
      <c r="C22" s="37"/>
      <c r="D22" s="37"/>
      <c r="E22" s="37"/>
      <c r="F22" s="37"/>
      <c r="G22" s="37"/>
      <c r="H22" s="6"/>
      <c r="I22" s="7">
        <f t="shared" si="1"/>
        <v>0</v>
      </c>
    </row>
    <row r="23" spans="1:9" ht="21" customHeight="1" x14ac:dyDescent="0.25">
      <c r="A23" s="5"/>
      <c r="B23" s="37"/>
      <c r="C23" s="37"/>
      <c r="D23" s="37"/>
      <c r="E23" s="37"/>
      <c r="F23" s="37"/>
      <c r="G23" s="37"/>
      <c r="H23" s="6"/>
      <c r="I23" s="7">
        <f t="shared" ref="I23" si="2">A23*H23</f>
        <v>0</v>
      </c>
    </row>
    <row r="24" spans="1:9" ht="15" customHeight="1" x14ac:dyDescent="0.25">
      <c r="A24" s="38" t="s">
        <v>44</v>
      </c>
      <c r="B24" s="38"/>
      <c r="C24" s="38"/>
      <c r="D24" s="38"/>
      <c r="E24" s="38"/>
      <c r="F24" s="38"/>
      <c r="G24" s="38"/>
      <c r="H24" s="22" t="s">
        <v>15</v>
      </c>
      <c r="I24" s="23">
        <f>SUM(I7:I23)</f>
        <v>13425</v>
      </c>
    </row>
    <row r="25" spans="1:9" ht="15" customHeight="1" x14ac:dyDescent="0.25">
      <c r="A25" s="38" t="s">
        <v>41</v>
      </c>
      <c r="B25" s="38"/>
      <c r="C25" s="38"/>
      <c r="D25" s="38"/>
      <c r="E25" s="38"/>
      <c r="F25" s="38"/>
      <c r="G25" s="38"/>
      <c r="H25" s="22" t="s">
        <v>6</v>
      </c>
      <c r="I25" s="23">
        <f>+I24*0.16</f>
        <v>2148</v>
      </c>
    </row>
    <row r="26" spans="1:9" ht="15" customHeight="1" x14ac:dyDescent="0.25">
      <c r="A26" s="39" t="s">
        <v>43</v>
      </c>
      <c r="B26" s="39"/>
      <c r="C26" s="39"/>
      <c r="D26" s="39"/>
      <c r="E26" s="39"/>
      <c r="F26" s="39"/>
      <c r="G26" s="39"/>
      <c r="H26" s="22" t="s">
        <v>5</v>
      </c>
      <c r="I26" s="23">
        <f>I24+I25</f>
        <v>15573</v>
      </c>
    </row>
    <row r="27" spans="1:9" ht="15" customHeight="1" x14ac:dyDescent="0.25">
      <c r="A27" s="33"/>
      <c r="B27" s="33"/>
      <c r="C27" s="33"/>
      <c r="D27" s="33"/>
      <c r="E27" s="33"/>
      <c r="F27" s="33"/>
      <c r="G27" s="33"/>
      <c r="H27" s="24" t="s">
        <v>17</v>
      </c>
      <c r="I27" s="25"/>
    </row>
    <row r="28" spans="1:9" ht="15" customHeight="1" x14ac:dyDescent="0.25">
      <c r="A28" s="33"/>
      <c r="B28" s="33"/>
      <c r="C28" s="33"/>
      <c r="D28" s="33"/>
      <c r="E28" s="33"/>
      <c r="F28" s="33"/>
      <c r="G28" s="33"/>
      <c r="H28" s="26" t="s">
        <v>7</v>
      </c>
      <c r="I28" s="27">
        <f>(I26/1.16)*1.25%</f>
        <v>167.81250000000003</v>
      </c>
    </row>
    <row r="29" spans="1:9" ht="15" customHeight="1" x14ac:dyDescent="0.25">
      <c r="A29" s="33"/>
      <c r="B29" s="33"/>
      <c r="C29" s="33"/>
      <c r="D29" s="33"/>
      <c r="E29" s="33"/>
      <c r="F29" s="33"/>
      <c r="G29" s="33"/>
      <c r="H29" s="28" t="s">
        <v>18</v>
      </c>
      <c r="I29" s="27">
        <f>+I26-I28</f>
        <v>15405.1875</v>
      </c>
    </row>
    <row r="30" spans="1:9" ht="15" customHeight="1" x14ac:dyDescent="0.25">
      <c r="A30" s="34"/>
      <c r="B30" s="34"/>
      <c r="C30" s="34"/>
      <c r="D30" s="34"/>
      <c r="E30" s="34"/>
      <c r="F30" s="34"/>
      <c r="G30" s="34"/>
    </row>
    <row r="31" spans="1:9" x14ac:dyDescent="0.25">
      <c r="A31" s="34"/>
      <c r="B31" s="34"/>
      <c r="C31" s="34"/>
      <c r="D31" s="34"/>
      <c r="E31" s="34"/>
      <c r="F31" s="34"/>
      <c r="G31" s="34"/>
    </row>
    <row r="32" spans="1:9" ht="12.75" customHeight="1" x14ac:dyDescent="0.25">
      <c r="A32" s="35" t="s">
        <v>8</v>
      </c>
      <c r="B32" s="35"/>
      <c r="C32" s="35"/>
      <c r="D32" s="35"/>
      <c r="F32" s="36" t="s">
        <v>21</v>
      </c>
      <c r="G32" s="36"/>
      <c r="H32" s="36"/>
      <c r="I32" s="36"/>
    </row>
    <row r="33" spans="1:9" x14ac:dyDescent="0.25">
      <c r="A33" s="31" t="s">
        <v>9</v>
      </c>
      <c r="B33" s="31"/>
      <c r="C33" s="31"/>
      <c r="D33" s="31"/>
      <c r="E33" s="8"/>
      <c r="F33" s="31" t="s">
        <v>10</v>
      </c>
      <c r="G33" s="31"/>
      <c r="H33" s="31"/>
    </row>
    <row r="34" spans="1:9" ht="34.5" customHeight="1" x14ac:dyDescent="0.25">
      <c r="A34" t="s">
        <v>11</v>
      </c>
      <c r="F34" s="9"/>
      <c r="G34" s="9"/>
    </row>
    <row r="35" spans="1:9" s="13" customFormat="1" x14ac:dyDescent="0.25">
      <c r="A35" s="10" t="s">
        <v>12</v>
      </c>
      <c r="B35" s="11"/>
      <c r="C35" s="11"/>
      <c r="D35" s="11"/>
      <c r="E35" s="11"/>
      <c r="F35" s="11"/>
      <c r="G35" s="11"/>
      <c r="H35" s="10"/>
      <c r="I35" s="12"/>
    </row>
    <row r="36" spans="1:9" x14ac:dyDescent="0.25">
      <c r="A36" s="14" t="s">
        <v>13</v>
      </c>
      <c r="B36" s="15"/>
      <c r="C36" s="15"/>
      <c r="D36" s="15"/>
      <c r="E36" s="15"/>
      <c r="F36" s="15"/>
      <c r="G36" s="15"/>
      <c r="H36" s="32" t="s">
        <v>14</v>
      </c>
      <c r="I36" s="32"/>
    </row>
    <row r="37" spans="1:9" x14ac:dyDescent="0.25">
      <c r="A37" s="14"/>
      <c r="B37" s="15"/>
      <c r="C37" s="15"/>
      <c r="D37" s="15"/>
      <c r="E37" s="15"/>
      <c r="F37" s="15"/>
      <c r="G37" s="15"/>
      <c r="H37" s="14"/>
      <c r="I37" s="16"/>
    </row>
    <row r="38" spans="1:9" x14ac:dyDescent="0.25">
      <c r="A38" s="17"/>
      <c r="B38" s="18"/>
      <c r="C38" s="18"/>
      <c r="D38" s="18"/>
      <c r="E38" s="18"/>
      <c r="F38" s="19"/>
      <c r="G38" s="19"/>
      <c r="H38" s="20"/>
      <c r="I38" s="21" t="e">
        <f t="array" ref="I38">+#REF!:i37a16:i37b11a22:i37a11:i37b11a2a22:I38</f>
        <v>#REF!</v>
      </c>
    </row>
  </sheetData>
  <mergeCells count="45"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7:E17"/>
    <mergeCell ref="F17:G17"/>
    <mergeCell ref="E1:I4"/>
    <mergeCell ref="E5:I5"/>
    <mergeCell ref="B8:E8"/>
    <mergeCell ref="G8:I8"/>
    <mergeCell ref="B9:E9"/>
    <mergeCell ref="G9:I9"/>
    <mergeCell ref="B10:E10"/>
    <mergeCell ref="G10:I10"/>
    <mergeCell ref="B11:E11"/>
    <mergeCell ref="G11:I11"/>
    <mergeCell ref="B13:E13"/>
    <mergeCell ref="F13:G13"/>
    <mergeCell ref="A25:G25"/>
    <mergeCell ref="A26:G26"/>
    <mergeCell ref="A27:G27"/>
    <mergeCell ref="B23:E23"/>
    <mergeCell ref="F23:G23"/>
    <mergeCell ref="A24:G24"/>
    <mergeCell ref="A28:G28"/>
    <mergeCell ref="A33:D33"/>
    <mergeCell ref="F33:H33"/>
    <mergeCell ref="H36:I36"/>
    <mergeCell ref="A29:G29"/>
    <mergeCell ref="A30:G30"/>
    <mergeCell ref="A31:G31"/>
    <mergeCell ref="A32:D32"/>
    <mergeCell ref="F32:I32"/>
    <mergeCell ref="B20:E20"/>
    <mergeCell ref="F20:G20"/>
    <mergeCell ref="B21:E21"/>
    <mergeCell ref="F21:G21"/>
    <mergeCell ref="B22:E22"/>
    <mergeCell ref="F22:G22"/>
  </mergeCells>
  <hyperlinks>
    <hyperlink ref="G11" r:id="rId1" xr:uid="{93A24FD4-7581-4272-B135-775A5CFBB031}"/>
  </hyperlinks>
  <pageMargins left="0.31527777777777799" right="0.15763888888888899" top="0.43333333333333302" bottom="0.51180555555555596" header="0.511811023622047" footer="0.511811023622047"/>
  <pageSetup scale="9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A8AA-5BEE-4F2E-97C6-E8CBE02074A7}">
  <sheetPr>
    <pageSetUpPr fitToPage="1"/>
  </sheetPr>
  <dimension ref="A1:I38"/>
  <sheetViews>
    <sheetView showGridLines="0" tabSelected="1" zoomScale="112" zoomScaleNormal="112" workbookViewId="0">
      <selection activeCell="K36" sqref="K36"/>
    </sheetView>
  </sheetViews>
  <sheetFormatPr baseColWidth="10" defaultColWidth="10.7109375" defaultRowHeight="15" x14ac:dyDescent="0.25"/>
  <cols>
    <col min="5" max="5" width="12.42578125" customWidth="1"/>
    <col min="7" max="7" width="7.28515625" customWidth="1"/>
    <col min="8" max="8" width="15.5703125" customWidth="1"/>
    <col min="9" max="9" width="14.28515625" customWidth="1"/>
  </cols>
  <sheetData>
    <row r="1" spans="1:9" ht="15" customHeight="1" x14ac:dyDescent="0.25">
      <c r="E1" s="43" t="s">
        <v>0</v>
      </c>
      <c r="F1" s="43"/>
      <c r="G1" s="43"/>
      <c r="H1" s="43"/>
      <c r="I1" s="43"/>
    </row>
    <row r="2" spans="1:9" ht="15" customHeight="1" x14ac:dyDescent="0.25">
      <c r="E2" s="43"/>
      <c r="F2" s="43"/>
      <c r="G2" s="43"/>
      <c r="H2" s="43"/>
      <c r="I2" s="43"/>
    </row>
    <row r="3" spans="1:9" ht="15" customHeight="1" x14ac:dyDescent="0.25">
      <c r="E3" s="43"/>
      <c r="F3" s="43"/>
      <c r="G3" s="43"/>
      <c r="H3" s="43"/>
      <c r="I3" s="43"/>
    </row>
    <row r="4" spans="1:9" ht="15" customHeight="1" x14ac:dyDescent="0.25">
      <c r="E4" s="43"/>
      <c r="F4" s="43"/>
      <c r="G4" s="43"/>
      <c r="H4" s="43"/>
      <c r="I4" s="43"/>
    </row>
    <row r="5" spans="1:9" ht="18" customHeight="1" x14ac:dyDescent="0.25">
      <c r="E5" s="44" t="s">
        <v>19</v>
      </c>
      <c r="F5" s="44"/>
      <c r="G5" s="44"/>
      <c r="H5" s="44"/>
      <c r="I5" s="44"/>
    </row>
    <row r="6" spans="1:9" ht="0.75" customHeigh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9.75" customHeight="1" x14ac:dyDescent="0.25"/>
    <row r="8" spans="1:9" x14ac:dyDescent="0.25">
      <c r="A8" s="2" t="s">
        <v>1</v>
      </c>
      <c r="B8" s="36"/>
      <c r="C8" s="36"/>
      <c r="D8" s="36"/>
      <c r="E8" s="36"/>
      <c r="F8" s="2" t="s">
        <v>24</v>
      </c>
      <c r="G8" s="45"/>
      <c r="H8" s="45"/>
      <c r="I8" s="45"/>
    </row>
    <row r="9" spans="1:9" x14ac:dyDescent="0.25">
      <c r="A9" s="2" t="s">
        <v>2</v>
      </c>
      <c r="B9" s="36"/>
      <c r="C9" s="36"/>
      <c r="D9" s="36"/>
      <c r="E9" s="36"/>
      <c r="F9" s="2" t="s">
        <v>25</v>
      </c>
      <c r="G9" s="36"/>
      <c r="H9" s="36"/>
      <c r="I9" s="36"/>
    </row>
    <row r="10" spans="1:9" x14ac:dyDescent="0.25">
      <c r="A10" s="2" t="s">
        <v>16</v>
      </c>
      <c r="B10" s="36"/>
      <c r="C10" s="36"/>
      <c r="D10" s="36"/>
      <c r="E10" s="36"/>
      <c r="F10" s="2" t="s">
        <v>26</v>
      </c>
      <c r="G10" s="40"/>
      <c r="H10" s="40"/>
      <c r="I10" s="40"/>
    </row>
    <row r="11" spans="1:9" x14ac:dyDescent="0.25">
      <c r="A11" s="2" t="s">
        <v>3</v>
      </c>
      <c r="B11" s="36"/>
      <c r="C11" s="36"/>
      <c r="D11" s="36"/>
      <c r="E11" s="36"/>
      <c r="F11" s="2" t="s">
        <v>28</v>
      </c>
      <c r="G11" s="41"/>
      <c r="H11" s="40"/>
      <c r="I11" s="40"/>
    </row>
    <row r="12" spans="1:9" x14ac:dyDescent="0.25">
      <c r="G12" s="30"/>
    </row>
    <row r="13" spans="1:9" x14ac:dyDescent="0.25">
      <c r="A13" s="3" t="s">
        <v>4</v>
      </c>
      <c r="B13" s="42"/>
      <c r="C13" s="42"/>
      <c r="D13" s="42"/>
      <c r="E13" s="42"/>
      <c r="F13" s="42"/>
      <c r="G13" s="42"/>
      <c r="H13" s="4"/>
      <c r="I13" s="3"/>
    </row>
    <row r="14" spans="1:9" ht="19.5" customHeight="1" x14ac:dyDescent="0.25">
      <c r="A14" s="29"/>
      <c r="B14" s="33"/>
      <c r="C14" s="33"/>
      <c r="D14" s="33"/>
      <c r="E14" s="33"/>
      <c r="F14" s="37"/>
      <c r="G14" s="37"/>
      <c r="H14" s="6"/>
      <c r="I14" s="7">
        <f t="shared" ref="I14:I23" si="0">A14*H14</f>
        <v>0</v>
      </c>
    </row>
    <row r="15" spans="1:9" ht="21" customHeight="1" x14ac:dyDescent="0.25">
      <c r="A15" s="5"/>
      <c r="B15" s="37"/>
      <c r="C15" s="37"/>
      <c r="D15" s="37"/>
      <c r="E15" s="37"/>
      <c r="F15" s="37"/>
      <c r="G15" s="37"/>
      <c r="H15" s="6"/>
      <c r="I15" s="7">
        <f t="shared" si="0"/>
        <v>0</v>
      </c>
    </row>
    <row r="16" spans="1:9" ht="21" customHeight="1" x14ac:dyDescent="0.25">
      <c r="A16" s="5"/>
      <c r="B16" s="37"/>
      <c r="C16" s="37"/>
      <c r="D16" s="37"/>
      <c r="E16" s="37"/>
      <c r="F16" s="37"/>
      <c r="G16" s="37"/>
      <c r="H16" s="6"/>
      <c r="I16" s="7">
        <f t="shared" si="0"/>
        <v>0</v>
      </c>
    </row>
    <row r="17" spans="1:9" ht="21" customHeight="1" x14ac:dyDescent="0.25">
      <c r="A17" s="5"/>
      <c r="B17" s="37"/>
      <c r="C17" s="37"/>
      <c r="D17" s="37"/>
      <c r="E17" s="37"/>
      <c r="F17" s="37"/>
      <c r="G17" s="37"/>
      <c r="H17" s="6"/>
      <c r="I17" s="7">
        <f t="shared" si="0"/>
        <v>0</v>
      </c>
    </row>
    <row r="18" spans="1:9" ht="21" customHeight="1" x14ac:dyDescent="0.25">
      <c r="A18" s="5"/>
      <c r="B18" s="37"/>
      <c r="C18" s="37"/>
      <c r="D18" s="37"/>
      <c r="E18" s="37"/>
      <c r="F18" s="37"/>
      <c r="G18" s="37"/>
      <c r="H18" s="6"/>
      <c r="I18" s="7">
        <f t="shared" si="0"/>
        <v>0</v>
      </c>
    </row>
    <row r="19" spans="1:9" ht="21" customHeight="1" x14ac:dyDescent="0.25">
      <c r="A19" s="5"/>
      <c r="B19" s="37"/>
      <c r="C19" s="37"/>
      <c r="D19" s="37"/>
      <c r="E19" s="37"/>
      <c r="F19" s="37"/>
      <c r="G19" s="37"/>
      <c r="H19" s="6"/>
      <c r="I19" s="7">
        <f t="shared" si="0"/>
        <v>0</v>
      </c>
    </row>
    <row r="20" spans="1:9" ht="21" customHeight="1" x14ac:dyDescent="0.25">
      <c r="A20" s="5"/>
      <c r="B20" s="37"/>
      <c r="C20" s="37"/>
      <c r="D20" s="37"/>
      <c r="E20" s="37"/>
      <c r="F20" s="37"/>
      <c r="G20" s="37"/>
      <c r="H20" s="6"/>
      <c r="I20" s="7">
        <f t="shared" si="0"/>
        <v>0</v>
      </c>
    </row>
    <row r="21" spans="1:9" ht="21" customHeight="1" x14ac:dyDescent="0.25">
      <c r="A21" s="5"/>
      <c r="B21" s="37"/>
      <c r="C21" s="37"/>
      <c r="D21" s="37"/>
      <c r="E21" s="37"/>
      <c r="F21" s="37"/>
      <c r="G21" s="37"/>
      <c r="H21" s="6"/>
      <c r="I21" s="7">
        <f t="shared" si="0"/>
        <v>0</v>
      </c>
    </row>
    <row r="22" spans="1:9" ht="21" customHeight="1" x14ac:dyDescent="0.25">
      <c r="A22" s="5"/>
      <c r="B22" s="37"/>
      <c r="C22" s="37"/>
      <c r="D22" s="37"/>
      <c r="E22" s="37"/>
      <c r="F22" s="37"/>
      <c r="G22" s="37"/>
      <c r="H22" s="6"/>
      <c r="I22" s="7">
        <f t="shared" si="0"/>
        <v>0</v>
      </c>
    </row>
    <row r="23" spans="1:9" ht="21" customHeight="1" x14ac:dyDescent="0.25">
      <c r="A23" s="5"/>
      <c r="B23" s="37"/>
      <c r="C23" s="37"/>
      <c r="D23" s="37"/>
      <c r="E23" s="37"/>
      <c r="F23" s="37"/>
      <c r="G23" s="37"/>
      <c r="H23" s="6"/>
      <c r="I23" s="7">
        <f t="shared" si="0"/>
        <v>0</v>
      </c>
    </row>
    <row r="24" spans="1:9" ht="15" customHeight="1" x14ac:dyDescent="0.25">
      <c r="A24" s="38"/>
      <c r="B24" s="38"/>
      <c r="C24" s="38"/>
      <c r="D24" s="38"/>
      <c r="E24" s="38"/>
      <c r="F24" s="38"/>
      <c r="G24" s="38"/>
      <c r="H24" s="22" t="s">
        <v>15</v>
      </c>
      <c r="I24" s="23">
        <f>SUM(I7:I23)</f>
        <v>0</v>
      </c>
    </row>
    <row r="25" spans="1:9" ht="15" customHeight="1" x14ac:dyDescent="0.25">
      <c r="A25" s="38"/>
      <c r="B25" s="38"/>
      <c r="C25" s="38"/>
      <c r="D25" s="38"/>
      <c r="E25" s="38"/>
      <c r="F25" s="38"/>
      <c r="G25" s="38"/>
      <c r="H25" s="22" t="s">
        <v>6</v>
      </c>
      <c r="I25" s="23">
        <f>+I24*0.16</f>
        <v>0</v>
      </c>
    </row>
    <row r="26" spans="1:9" ht="15" customHeight="1" x14ac:dyDescent="0.25">
      <c r="A26" s="39"/>
      <c r="B26" s="39"/>
      <c r="C26" s="39"/>
      <c r="D26" s="39"/>
      <c r="E26" s="39"/>
      <c r="F26" s="39"/>
      <c r="G26" s="39"/>
      <c r="H26" s="22" t="s">
        <v>5</v>
      </c>
      <c r="I26" s="23">
        <f>I24+I25</f>
        <v>0</v>
      </c>
    </row>
    <row r="27" spans="1:9" ht="15" customHeight="1" x14ac:dyDescent="0.25">
      <c r="A27" s="33"/>
      <c r="B27" s="33"/>
      <c r="C27" s="33"/>
      <c r="D27" s="33"/>
      <c r="E27" s="33"/>
      <c r="F27" s="33"/>
      <c r="G27" s="33"/>
      <c r="H27" s="24" t="s">
        <v>17</v>
      </c>
      <c r="I27" s="25"/>
    </row>
    <row r="28" spans="1:9" ht="15" customHeight="1" x14ac:dyDescent="0.25">
      <c r="A28" s="33"/>
      <c r="B28" s="33"/>
      <c r="C28" s="33"/>
      <c r="D28" s="33"/>
      <c r="E28" s="33"/>
      <c r="F28" s="33"/>
      <c r="G28" s="33"/>
      <c r="H28" s="26" t="s">
        <v>7</v>
      </c>
      <c r="I28" s="27">
        <f>(I26/1.16)*1.25%</f>
        <v>0</v>
      </c>
    </row>
    <row r="29" spans="1:9" ht="15" customHeight="1" x14ac:dyDescent="0.25">
      <c r="A29" s="33"/>
      <c r="B29" s="33"/>
      <c r="C29" s="33"/>
      <c r="D29" s="33"/>
      <c r="E29" s="33"/>
      <c r="F29" s="33"/>
      <c r="G29" s="33"/>
      <c r="H29" s="28" t="s">
        <v>18</v>
      </c>
      <c r="I29" s="27">
        <f>+I26-I28</f>
        <v>0</v>
      </c>
    </row>
    <row r="30" spans="1:9" ht="15" customHeight="1" x14ac:dyDescent="0.25">
      <c r="A30" s="34"/>
      <c r="B30" s="34"/>
      <c r="C30" s="34"/>
      <c r="D30" s="34"/>
      <c r="E30" s="34"/>
      <c r="F30" s="34"/>
      <c r="G30" s="34"/>
    </row>
    <row r="31" spans="1:9" x14ac:dyDescent="0.25">
      <c r="A31" s="34"/>
      <c r="B31" s="34"/>
      <c r="C31" s="34"/>
      <c r="D31" s="34"/>
      <c r="E31" s="34"/>
      <c r="F31" s="34"/>
      <c r="G31" s="34"/>
    </row>
    <row r="32" spans="1:9" ht="12.75" customHeight="1" x14ac:dyDescent="0.25">
      <c r="A32" s="35" t="s">
        <v>8</v>
      </c>
      <c r="B32" s="35"/>
      <c r="C32" s="35"/>
      <c r="D32" s="35"/>
      <c r="F32" s="36" t="s">
        <v>21</v>
      </c>
      <c r="G32" s="36"/>
      <c r="H32" s="36"/>
      <c r="I32" s="36"/>
    </row>
    <row r="33" spans="1:9" x14ac:dyDescent="0.25">
      <c r="A33" s="31" t="s">
        <v>9</v>
      </c>
      <c r="B33" s="31"/>
      <c r="C33" s="31"/>
      <c r="D33" s="31"/>
      <c r="E33" s="8"/>
      <c r="F33" s="31" t="s">
        <v>10</v>
      </c>
      <c r="G33" s="31"/>
      <c r="H33" s="31"/>
    </row>
    <row r="34" spans="1:9" ht="34.5" customHeight="1" x14ac:dyDescent="0.25">
      <c r="A34" t="s">
        <v>11</v>
      </c>
      <c r="F34" s="9"/>
      <c r="G34" s="9"/>
    </row>
    <row r="35" spans="1:9" s="13" customFormat="1" x14ac:dyDescent="0.25">
      <c r="A35" s="10" t="s">
        <v>12</v>
      </c>
      <c r="B35" s="11"/>
      <c r="C35" s="11"/>
      <c r="D35" s="11"/>
      <c r="E35" s="11"/>
      <c r="F35" s="11"/>
      <c r="G35" s="11"/>
      <c r="H35" s="10"/>
      <c r="I35" s="12"/>
    </row>
    <row r="36" spans="1:9" x14ac:dyDescent="0.25">
      <c r="A36" s="14" t="s">
        <v>13</v>
      </c>
      <c r="B36" s="15"/>
      <c r="C36" s="15"/>
      <c r="D36" s="15"/>
      <c r="E36" s="15"/>
      <c r="F36" s="15"/>
      <c r="G36" s="15"/>
      <c r="H36" s="32" t="s">
        <v>14</v>
      </c>
      <c r="I36" s="32"/>
    </row>
    <row r="37" spans="1:9" x14ac:dyDescent="0.25">
      <c r="A37" s="14"/>
      <c r="B37" s="15"/>
      <c r="C37" s="15"/>
      <c r="D37" s="15"/>
      <c r="E37" s="15"/>
      <c r="F37" s="15"/>
      <c r="G37" s="15"/>
      <c r="H37" s="14"/>
      <c r="I37" s="16"/>
    </row>
    <row r="38" spans="1:9" x14ac:dyDescent="0.25">
      <c r="A38" s="17"/>
      <c r="B38" s="18"/>
      <c r="C38" s="18"/>
      <c r="D38" s="18"/>
      <c r="E38" s="18"/>
      <c r="F38" s="19"/>
      <c r="G38" s="19"/>
      <c r="H38" s="20"/>
      <c r="I38" s="21" t="e" cm="1">
        <f t="array" ref="I38">+#REF!:i37a16:i37b11a22:i37a11:i37b11a2a22:I38</f>
        <v>#REF!</v>
      </c>
    </row>
  </sheetData>
  <mergeCells count="45">
    <mergeCell ref="E1:I4"/>
    <mergeCell ref="E5:I5"/>
    <mergeCell ref="B8:E8"/>
    <mergeCell ref="G8:I8"/>
    <mergeCell ref="B9:E9"/>
    <mergeCell ref="G9:I9"/>
    <mergeCell ref="B10:E10"/>
    <mergeCell ref="G10:I10"/>
    <mergeCell ref="B11:E11"/>
    <mergeCell ref="G11:I11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A27:G27"/>
    <mergeCell ref="B20:E20"/>
    <mergeCell ref="F20:G20"/>
    <mergeCell ref="B21:E21"/>
    <mergeCell ref="F21:G21"/>
    <mergeCell ref="B22:E22"/>
    <mergeCell ref="F22:G22"/>
    <mergeCell ref="B23:E23"/>
    <mergeCell ref="F23:G23"/>
    <mergeCell ref="A24:G24"/>
    <mergeCell ref="A25:G25"/>
    <mergeCell ref="A26:G26"/>
    <mergeCell ref="A33:D33"/>
    <mergeCell ref="F33:H33"/>
    <mergeCell ref="H36:I36"/>
    <mergeCell ref="A28:G28"/>
    <mergeCell ref="A29:G29"/>
    <mergeCell ref="A30:G30"/>
    <mergeCell ref="A31:G31"/>
    <mergeCell ref="A32:D32"/>
    <mergeCell ref="F32:I32"/>
  </mergeCells>
  <pageMargins left="0.31527777777777799" right="0.15763888888888899" top="0.43333333333333302" bottom="0.51180555555555596" header="0.511811023622047" footer="0.511811023622047"/>
  <pageSetup scale="9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formato (2)</vt:lpstr>
      <vt:lpstr>formato!Área_de_impresión</vt:lpstr>
      <vt:lpstr>'formato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topmodels</dc:creator>
  <dc:description/>
  <cp:lastModifiedBy>David Escarcega</cp:lastModifiedBy>
  <cp:revision>2</cp:revision>
  <cp:lastPrinted>2026-05-05T19:54:24Z</cp:lastPrinted>
  <dcterms:created xsi:type="dcterms:W3CDTF">2020-08-04T02:03:13Z</dcterms:created>
  <dcterms:modified xsi:type="dcterms:W3CDTF">2026-06-23T16:43:37Z</dcterms:modified>
  <dc:language>es-MX</dc:language>
</cp:coreProperties>
</file>